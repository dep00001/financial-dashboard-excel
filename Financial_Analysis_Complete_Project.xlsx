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deepadhikari\Documents\GitHub\financial-dashboard-excel\"/>
    </mc:Choice>
  </mc:AlternateContent>
  <xr:revisionPtr revIDLastSave="0" documentId="8_{078D59B0-1C09-4141-A588-CCE4FC8D67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ual" sheetId="1" r:id="rId1"/>
    <sheet name="Budget" sheetId="2" r:id="rId2"/>
    <sheet name="Dashboard" sheetId="3" r:id="rId3"/>
  </sheets>
  <definedNames>
    <definedName name="_xlchart.v1.0" hidden="1">Dashboard!$A$9:$A$11</definedName>
    <definedName name="_xlchart.v1.1" hidden="1">Dashboard!$B$9:$B$11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R3" i="2"/>
  <c r="R4" i="2"/>
  <c r="R5" i="2"/>
  <c r="R6" i="2"/>
  <c r="R7" i="2"/>
  <c r="R8" i="2"/>
  <c r="R2" i="2"/>
  <c r="C10" i="2"/>
  <c r="D10" i="2"/>
  <c r="E10" i="2"/>
  <c r="F10" i="2"/>
  <c r="G10" i="2"/>
  <c r="H10" i="2"/>
  <c r="I10" i="2"/>
  <c r="J10" i="2"/>
  <c r="K10" i="2"/>
  <c r="L10" i="2"/>
  <c r="M10" i="2"/>
  <c r="B10" i="2"/>
  <c r="B9" i="3" s="1"/>
  <c r="O3" i="2"/>
  <c r="O4" i="2"/>
  <c r="O5" i="2"/>
  <c r="O6" i="2"/>
  <c r="O7" i="2"/>
  <c r="O8" i="2"/>
  <c r="O2" i="2"/>
  <c r="O10" i="2" s="1"/>
  <c r="B11" i="3" s="1"/>
  <c r="N3" i="2"/>
  <c r="N4" i="2"/>
  <c r="N5" i="2"/>
  <c r="N6" i="2"/>
  <c r="N7" i="2"/>
  <c r="N8" i="2"/>
  <c r="N2" i="2"/>
  <c r="N10" i="2" s="1"/>
  <c r="B4" i="3" s="1"/>
  <c r="B5" i="3" l="1"/>
  <c r="B6" i="3" s="1"/>
  <c r="B7" i="3" s="1"/>
  <c r="B10" i="3"/>
</calcChain>
</file>

<file path=xl/sharedStrings.xml><?xml version="1.0" encoding="utf-8"?>
<sst xmlns="http://schemas.openxmlformats.org/spreadsheetml/2006/main" count="254" uniqueCount="35">
  <si>
    <t>Department</t>
  </si>
  <si>
    <t>Month</t>
  </si>
  <si>
    <t>Actual Spend</t>
  </si>
  <si>
    <t>HR</t>
  </si>
  <si>
    <t>Operations</t>
  </si>
  <si>
    <t>IT</t>
  </si>
  <si>
    <t>Marketing</t>
  </si>
  <si>
    <t>Jul</t>
  </si>
  <si>
    <t>Apr</t>
  </si>
  <si>
    <t>Jun</t>
  </si>
  <si>
    <t>Nov</t>
  </si>
  <si>
    <t>Mar</t>
  </si>
  <si>
    <t>Jan</t>
  </si>
  <si>
    <t>Feb</t>
  </si>
  <si>
    <t>May</t>
  </si>
  <si>
    <t>Dec</t>
  </si>
  <si>
    <t>Sep</t>
  </si>
  <si>
    <t>Aug</t>
  </si>
  <si>
    <t>Oct</t>
  </si>
  <si>
    <t>Finance</t>
  </si>
  <si>
    <t>Procurement</t>
  </si>
  <si>
    <t>Sales</t>
  </si>
  <si>
    <t>Total Budget</t>
  </si>
  <si>
    <t>Total Actual</t>
  </si>
  <si>
    <t>Total Variance</t>
  </si>
  <si>
    <t>Variance %</t>
  </si>
  <si>
    <t>Status</t>
  </si>
  <si>
    <t>total budget</t>
  </si>
  <si>
    <t>actual</t>
  </si>
  <si>
    <t>Monthly Actual Spend</t>
  </si>
  <si>
    <t>total actual</t>
  </si>
  <si>
    <t>total budgets</t>
  </si>
  <si>
    <t>Variance</t>
  </si>
  <si>
    <t>Dept Actual Total</t>
  </si>
  <si>
    <t xml:space="preserve">Annual Financial Dashboard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</si>
</sst>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left" vertical="top"/>
    </xf>
    <xf numFmtId="164" fontId="2" fillId="2" borderId="0" xfId="0" applyNumberFormat="1" applyFont="1" applyFill="1" applyAlignment="1">
      <alignment horizontal="left" vertical="top"/>
    </xf>
    <xf numFmtId="10" fontId="2" fillId="2" borderId="0" xfId="0" applyNumberFormat="1" applyFont="1" applyFill="1" applyAlignment="1">
      <alignment horizontal="left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4" fillId="2" borderId="0" xfId="0" applyFont="1" applyFill="1"/>
    <xf numFmtId="2" fontId="4" fillId="2" borderId="0" xfId="0" applyNumberFormat="1" applyFont="1" applyFill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78784466423755"/>
          <c:y val="0.17585550903148894"/>
          <c:w val="0.8398586975668243"/>
          <c:h val="0.660600149748223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Budget!$N$1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Budget!$N$2:$N$8</c:f>
              <c:numCache>
                <c:formatCode>General</c:formatCode>
                <c:ptCount val="7"/>
                <c:pt idx="0">
                  <c:v>476384</c:v>
                </c:pt>
                <c:pt idx="1">
                  <c:v>308078</c:v>
                </c:pt>
                <c:pt idx="2">
                  <c:v>514490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49-45CD-940B-DD926F74BA79}"/>
            </c:ext>
          </c:extLst>
        </c:ser>
        <c:ser>
          <c:idx val="1"/>
          <c:order val="1"/>
          <c:tx>
            <c:strRef>
              <c:f>Budget!$O$1</c:f>
              <c:strCache>
                <c:ptCount val="1"/>
                <c:pt idx="0">
                  <c:v>total budget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Budget!$O$2:$O$8</c:f>
              <c:numCache>
                <c:formatCode>General</c:formatCode>
                <c:ptCount val="7"/>
                <c:pt idx="0">
                  <c:v>1910853</c:v>
                </c:pt>
                <c:pt idx="1">
                  <c:v>975534</c:v>
                </c:pt>
                <c:pt idx="2">
                  <c:v>1578680</c:v>
                </c:pt>
                <c:pt idx="3">
                  <c:v>2654930</c:v>
                </c:pt>
                <c:pt idx="4">
                  <c:v>2203817</c:v>
                </c:pt>
                <c:pt idx="5">
                  <c:v>1482567</c:v>
                </c:pt>
                <c:pt idx="6">
                  <c:v>1742473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49-45CD-940B-DD926F74BA79}"/>
            </c:ext>
          </c:extLst>
        </c:ser>
        <c:ser>
          <c:idx val="2"/>
          <c:order val="2"/>
          <c:tx>
            <c:strRef>
              <c:f>Budget!$P$1</c:f>
              <c:strCache>
                <c:ptCount val="1"/>
                <c:pt idx="0">
                  <c:v>Department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Budget!$P$2:$P$8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49-45CD-940B-DD926F74B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787072"/>
        <c:axId val="221783232"/>
      </c:barChart>
      <c:catAx>
        <c:axId val="22178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783232"/>
        <c:crosses val="autoZero"/>
        <c:auto val="1"/>
        <c:lblAlgn val="ctr"/>
        <c:lblOffset val="100"/>
        <c:noMultiLvlLbl val="0"/>
      </c:catAx>
      <c:valAx>
        <c:axId val="22178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78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 Wise Spend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Budget!$R$1</c:f>
              <c:strCache>
                <c:ptCount val="1"/>
                <c:pt idx="0">
                  <c:v>Dept Actual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BE-4E52-9FDB-2CF6B8DE53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BE-4E52-9FDB-2CF6B8DE53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BE-4E52-9FDB-2CF6B8DE53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DBE-4E52-9FDB-2CF6B8DE53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DBE-4E52-9FDB-2CF6B8DE533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DBE-4E52-9FDB-2CF6B8DE533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DBE-4E52-9FDB-2CF6B8DE533A}"/>
              </c:ext>
            </c:extLst>
          </c:dPt>
          <c:cat>
            <c:strRef>
              <c:f>Budget!$Q$2:$Q$8</c:f>
              <c:strCache>
                <c:ptCount val="7"/>
                <c:pt idx="0">
                  <c:v>Marketing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  <c:pt idx="5">
                  <c:v>Procurement</c:v>
                </c:pt>
                <c:pt idx="6">
                  <c:v>Finance</c:v>
                </c:pt>
              </c:strCache>
            </c:strRef>
          </c:cat>
          <c:val>
            <c:numRef>
              <c:f>Budget!$R$2:$R$8</c:f>
              <c:numCache>
                <c:formatCode>General</c:formatCode>
                <c:ptCount val="7"/>
                <c:pt idx="0">
                  <c:v>3301058</c:v>
                </c:pt>
                <c:pt idx="1">
                  <c:v>2405399</c:v>
                </c:pt>
                <c:pt idx="2">
                  <c:v>3702211</c:v>
                </c:pt>
                <c:pt idx="3">
                  <c:v>5003611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DBE-4E52-9FDB-2CF6B8DE5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line</a:t>
            </a:r>
            <a:r>
              <a:rPr lang="en-IN" baseline="0"/>
              <a:t>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Budget!$N$1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Budget!$B$1:$M$1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Budget!$N$2:$N$8</c:f>
              <c:numCache>
                <c:formatCode>General</c:formatCode>
                <c:ptCount val="7"/>
                <c:pt idx="0">
                  <c:v>476384</c:v>
                </c:pt>
                <c:pt idx="1">
                  <c:v>308078</c:v>
                </c:pt>
                <c:pt idx="2">
                  <c:v>514490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7E-454F-BFCB-8ABAD50375F8}"/>
            </c:ext>
          </c:extLst>
        </c:ser>
        <c:ser>
          <c:idx val="1"/>
          <c:order val="1"/>
          <c:tx>
            <c:strRef>
              <c:f>Budget!$O$1</c:f>
              <c:strCache>
                <c:ptCount val="1"/>
                <c:pt idx="0">
                  <c:v>total 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Budget!$B$1:$M$1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Budget!$O$2:$O$8</c:f>
              <c:numCache>
                <c:formatCode>General</c:formatCode>
                <c:ptCount val="7"/>
                <c:pt idx="0">
                  <c:v>1910853</c:v>
                </c:pt>
                <c:pt idx="1">
                  <c:v>975534</c:v>
                </c:pt>
                <c:pt idx="2">
                  <c:v>1578680</c:v>
                </c:pt>
                <c:pt idx="3">
                  <c:v>2654930</c:v>
                </c:pt>
                <c:pt idx="4">
                  <c:v>2203817</c:v>
                </c:pt>
                <c:pt idx="5">
                  <c:v>1482567</c:v>
                </c:pt>
                <c:pt idx="6">
                  <c:v>1742473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7E-454F-BFCB-8ABAD5037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8842944"/>
        <c:axId val="398843424"/>
      </c:lineChart>
      <c:catAx>
        <c:axId val="39884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843424"/>
        <c:crosses val="autoZero"/>
        <c:auto val="1"/>
        <c:lblAlgn val="ctr"/>
        <c:lblOffset val="100"/>
        <c:noMultiLvlLbl val="0"/>
      </c:catAx>
      <c:valAx>
        <c:axId val="39884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84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/>
    <cx:plotArea>
      <cx:plotAreaRegion>
        <cx:series layoutId="waterfall" uniqueId="{64DBCEAD-3927-483C-A59F-415C03D09C87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483511</xdr:colOff>
      <xdr:row>36</xdr:row>
      <xdr:rowOff>74443</xdr:rowOff>
    </xdr:from>
    <xdr:to>
      <xdr:col>5</xdr:col>
      <xdr:colOff>656491</xdr:colOff>
      <xdr:row>58</xdr:row>
      <xdr:rowOff>82062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FA62C2D-AA5A-0A14-2355-97B5E4795A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3511" y="7603003"/>
              <a:ext cx="5065020" cy="40309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468923</xdr:colOff>
      <xdr:row>14</xdr:row>
      <xdr:rowOff>55167</xdr:rowOff>
    </xdr:from>
    <xdr:to>
      <xdr:col>5</xdr:col>
      <xdr:colOff>527539</xdr:colOff>
      <xdr:row>34</xdr:row>
      <xdr:rowOff>175846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32952B-66D3-4007-A3E6-9FC353BC9D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23446</xdr:colOff>
      <xdr:row>36</xdr:row>
      <xdr:rowOff>105508</xdr:rowOff>
    </xdr:from>
    <xdr:to>
      <xdr:col>14</xdr:col>
      <xdr:colOff>339969</xdr:colOff>
      <xdr:row>58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A02659-EAA4-4B8C-9D6B-2E2FAA6F22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11724</xdr:colOff>
      <xdr:row>14</xdr:row>
      <xdr:rowOff>164123</xdr:rowOff>
    </xdr:from>
    <xdr:to>
      <xdr:col>14</xdr:col>
      <xdr:colOff>293076</xdr:colOff>
      <xdr:row>34</xdr:row>
      <xdr:rowOff>175846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E2E5D9-D17F-4AC8-9B1F-741CFB059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C15" sqref="A3:C15"/>
    </sheetView>
  </sheetViews>
  <sheetFormatPr defaultRowHeight="14.4" x14ac:dyDescent="0.3"/>
  <cols>
    <col min="1" max="1" width="13.44140625" customWidth="1"/>
    <col min="2" max="2" width="13.5546875" customWidth="1"/>
    <col min="3" max="3" width="13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7</v>
      </c>
      <c r="C2">
        <v>85712</v>
      </c>
    </row>
    <row r="3" spans="1:3" x14ac:dyDescent="0.3">
      <c r="A3" t="s">
        <v>4</v>
      </c>
      <c r="B3" t="s">
        <v>8</v>
      </c>
      <c r="C3">
        <v>217932</v>
      </c>
    </row>
    <row r="4" spans="1:3" x14ac:dyDescent="0.3">
      <c r="A4" t="s">
        <v>4</v>
      </c>
      <c r="B4" t="s">
        <v>9</v>
      </c>
      <c r="C4">
        <v>244886</v>
      </c>
    </row>
    <row r="5" spans="1:3" x14ac:dyDescent="0.3">
      <c r="A5" t="s">
        <v>5</v>
      </c>
      <c r="B5" t="s">
        <v>10</v>
      </c>
      <c r="C5">
        <v>113681</v>
      </c>
    </row>
    <row r="6" spans="1:3" x14ac:dyDescent="0.3">
      <c r="A6" t="s">
        <v>5</v>
      </c>
      <c r="B6" t="s">
        <v>11</v>
      </c>
      <c r="C6">
        <v>134652</v>
      </c>
    </row>
    <row r="7" spans="1:3" x14ac:dyDescent="0.3">
      <c r="A7" t="s">
        <v>5</v>
      </c>
      <c r="B7" t="s">
        <v>12</v>
      </c>
      <c r="C7">
        <v>135843</v>
      </c>
    </row>
    <row r="8" spans="1:3" x14ac:dyDescent="0.3">
      <c r="A8" t="s">
        <v>3</v>
      </c>
      <c r="B8" t="s">
        <v>11</v>
      </c>
      <c r="C8">
        <v>81751</v>
      </c>
    </row>
    <row r="9" spans="1:3" x14ac:dyDescent="0.3">
      <c r="A9" t="s">
        <v>6</v>
      </c>
      <c r="B9" t="s">
        <v>7</v>
      </c>
      <c r="C9">
        <v>168342</v>
      </c>
    </row>
    <row r="10" spans="1:3" x14ac:dyDescent="0.3">
      <c r="A10" t="s">
        <v>3</v>
      </c>
      <c r="B10" t="s">
        <v>10</v>
      </c>
      <c r="C10">
        <v>78712</v>
      </c>
    </row>
    <row r="11" spans="1:3" x14ac:dyDescent="0.3">
      <c r="A11" t="s">
        <v>4</v>
      </c>
      <c r="B11" t="s">
        <v>13</v>
      </c>
      <c r="C11">
        <v>228000</v>
      </c>
    </row>
    <row r="12" spans="1:3" x14ac:dyDescent="0.3">
      <c r="A12" t="s">
        <v>3</v>
      </c>
      <c r="B12" t="s">
        <v>14</v>
      </c>
      <c r="C12">
        <v>70704</v>
      </c>
    </row>
    <row r="13" spans="1:3" x14ac:dyDescent="0.3">
      <c r="A13" t="s">
        <v>3</v>
      </c>
      <c r="B13" t="s">
        <v>12</v>
      </c>
      <c r="C13">
        <v>70083</v>
      </c>
    </row>
    <row r="14" spans="1:3" x14ac:dyDescent="0.3">
      <c r="A14" t="s">
        <v>6</v>
      </c>
      <c r="B14" t="s">
        <v>15</v>
      </c>
      <c r="C14">
        <v>134093</v>
      </c>
    </row>
    <row r="15" spans="1:3" x14ac:dyDescent="0.3">
      <c r="A15" t="s">
        <v>6</v>
      </c>
      <c r="B15" t="s">
        <v>7</v>
      </c>
      <c r="C15">
        <v>158164</v>
      </c>
    </row>
    <row r="16" spans="1:3" x14ac:dyDescent="0.3">
      <c r="A16" t="s">
        <v>6</v>
      </c>
      <c r="B16" t="s">
        <v>13</v>
      </c>
      <c r="C16">
        <v>176652</v>
      </c>
    </row>
    <row r="17" spans="1:3" x14ac:dyDescent="0.3">
      <c r="A17" t="s">
        <v>5</v>
      </c>
      <c r="B17" t="s">
        <v>12</v>
      </c>
      <c r="C17">
        <v>130415</v>
      </c>
    </row>
    <row r="18" spans="1:3" x14ac:dyDescent="0.3">
      <c r="A18" t="s">
        <v>3</v>
      </c>
      <c r="B18" t="s">
        <v>16</v>
      </c>
      <c r="C18">
        <v>75764</v>
      </c>
    </row>
    <row r="19" spans="1:3" x14ac:dyDescent="0.3">
      <c r="A19" t="s">
        <v>3</v>
      </c>
      <c r="B19" t="s">
        <v>12</v>
      </c>
      <c r="C19">
        <v>75299</v>
      </c>
    </row>
    <row r="20" spans="1:3" x14ac:dyDescent="0.3">
      <c r="A20" t="s">
        <v>3</v>
      </c>
      <c r="B20" t="s">
        <v>9</v>
      </c>
      <c r="C20">
        <v>72828</v>
      </c>
    </row>
    <row r="21" spans="1:3" x14ac:dyDescent="0.3">
      <c r="A21" t="s">
        <v>5</v>
      </c>
      <c r="B21" t="s">
        <v>17</v>
      </c>
      <c r="C21">
        <v>139971</v>
      </c>
    </row>
    <row r="22" spans="1:3" x14ac:dyDescent="0.3">
      <c r="A22" t="s">
        <v>3</v>
      </c>
      <c r="B22" t="s">
        <v>9</v>
      </c>
      <c r="C22">
        <v>88751</v>
      </c>
    </row>
    <row r="23" spans="1:3" x14ac:dyDescent="0.3">
      <c r="A23" t="s">
        <v>5</v>
      </c>
      <c r="B23" t="s">
        <v>17</v>
      </c>
      <c r="C23">
        <v>119257</v>
      </c>
    </row>
    <row r="24" spans="1:3" x14ac:dyDescent="0.3">
      <c r="A24" t="s">
        <v>6</v>
      </c>
      <c r="B24" t="s">
        <v>13</v>
      </c>
      <c r="C24">
        <v>162877</v>
      </c>
    </row>
    <row r="25" spans="1:3" x14ac:dyDescent="0.3">
      <c r="A25" t="s">
        <v>5</v>
      </c>
      <c r="B25" t="s">
        <v>18</v>
      </c>
      <c r="C25">
        <v>149856</v>
      </c>
    </row>
    <row r="26" spans="1:3" x14ac:dyDescent="0.3">
      <c r="A26" t="s">
        <v>3</v>
      </c>
      <c r="B26" t="s">
        <v>18</v>
      </c>
      <c r="C26">
        <v>72394</v>
      </c>
    </row>
    <row r="27" spans="1:3" x14ac:dyDescent="0.3">
      <c r="A27" t="s">
        <v>6</v>
      </c>
      <c r="B27" t="s">
        <v>12</v>
      </c>
      <c r="C27">
        <v>141208</v>
      </c>
    </row>
    <row r="28" spans="1:3" x14ac:dyDescent="0.3">
      <c r="A28" t="s">
        <v>5</v>
      </c>
      <c r="B28" t="s">
        <v>16</v>
      </c>
      <c r="C28">
        <v>148356</v>
      </c>
    </row>
    <row r="29" spans="1:3" x14ac:dyDescent="0.3">
      <c r="A29" t="s">
        <v>6</v>
      </c>
      <c r="B29" t="s">
        <v>8</v>
      </c>
      <c r="C29">
        <v>175064</v>
      </c>
    </row>
    <row r="30" spans="1:3" x14ac:dyDescent="0.3">
      <c r="A30" t="s">
        <v>6</v>
      </c>
      <c r="B30" t="s">
        <v>16</v>
      </c>
      <c r="C30">
        <v>173278</v>
      </c>
    </row>
    <row r="31" spans="1:3" x14ac:dyDescent="0.3">
      <c r="A31" t="s">
        <v>3</v>
      </c>
      <c r="B31" t="s">
        <v>11</v>
      </c>
      <c r="C31">
        <v>77536</v>
      </c>
    </row>
    <row r="32" spans="1:3" x14ac:dyDescent="0.3">
      <c r="A32" t="s">
        <v>5</v>
      </c>
      <c r="B32" t="s">
        <v>16</v>
      </c>
      <c r="C32">
        <v>122478</v>
      </c>
    </row>
    <row r="33" spans="1:3" x14ac:dyDescent="0.3">
      <c r="A33" t="s">
        <v>5</v>
      </c>
      <c r="B33" t="s">
        <v>16</v>
      </c>
      <c r="C33">
        <v>115726</v>
      </c>
    </row>
    <row r="34" spans="1:3" x14ac:dyDescent="0.3">
      <c r="A34" t="s">
        <v>3</v>
      </c>
      <c r="B34" t="s">
        <v>8</v>
      </c>
      <c r="C34">
        <v>89943</v>
      </c>
    </row>
    <row r="35" spans="1:3" x14ac:dyDescent="0.3">
      <c r="A35" t="s">
        <v>6</v>
      </c>
      <c r="B35" t="s">
        <v>12</v>
      </c>
      <c r="C35">
        <v>169905</v>
      </c>
    </row>
    <row r="36" spans="1:3" x14ac:dyDescent="0.3">
      <c r="A36" t="s">
        <v>5</v>
      </c>
      <c r="B36" t="s">
        <v>16</v>
      </c>
      <c r="C36">
        <v>138555</v>
      </c>
    </row>
    <row r="37" spans="1:3" x14ac:dyDescent="0.3">
      <c r="A37" t="s">
        <v>3</v>
      </c>
      <c r="B37" t="s">
        <v>16</v>
      </c>
      <c r="C37">
        <v>83506</v>
      </c>
    </row>
    <row r="38" spans="1:3" x14ac:dyDescent="0.3">
      <c r="A38" t="s">
        <v>6</v>
      </c>
      <c r="B38" t="s">
        <v>16</v>
      </c>
      <c r="C38">
        <v>164174</v>
      </c>
    </row>
    <row r="39" spans="1:3" x14ac:dyDescent="0.3">
      <c r="A39" t="s">
        <v>3</v>
      </c>
      <c r="B39" t="s">
        <v>18</v>
      </c>
      <c r="C39">
        <v>83317</v>
      </c>
    </row>
    <row r="40" spans="1:3" x14ac:dyDescent="0.3">
      <c r="A40" t="s">
        <v>4</v>
      </c>
      <c r="B40" t="s">
        <v>13</v>
      </c>
      <c r="C40">
        <v>230564</v>
      </c>
    </row>
    <row r="41" spans="1:3" x14ac:dyDescent="0.3">
      <c r="A41" t="s">
        <v>5</v>
      </c>
      <c r="B41" t="s">
        <v>17</v>
      </c>
      <c r="C41">
        <v>119084</v>
      </c>
    </row>
    <row r="42" spans="1:3" x14ac:dyDescent="0.3">
      <c r="A42" t="s">
        <v>3</v>
      </c>
      <c r="B42" t="s">
        <v>7</v>
      </c>
      <c r="C42">
        <v>88833</v>
      </c>
    </row>
    <row r="43" spans="1:3" x14ac:dyDescent="0.3">
      <c r="A43" t="s">
        <v>5</v>
      </c>
      <c r="B43" t="s">
        <v>12</v>
      </c>
      <c r="C43">
        <v>133867</v>
      </c>
    </row>
    <row r="44" spans="1:3" x14ac:dyDescent="0.3">
      <c r="A44" t="s">
        <v>3</v>
      </c>
      <c r="B44" t="s">
        <v>12</v>
      </c>
      <c r="C44">
        <v>87074</v>
      </c>
    </row>
    <row r="45" spans="1:3" x14ac:dyDescent="0.3">
      <c r="A45" t="s">
        <v>4</v>
      </c>
      <c r="B45" t="s">
        <v>10</v>
      </c>
      <c r="C45">
        <v>232965</v>
      </c>
    </row>
    <row r="46" spans="1:3" x14ac:dyDescent="0.3">
      <c r="A46" t="s">
        <v>3</v>
      </c>
      <c r="B46" t="s">
        <v>14</v>
      </c>
      <c r="C46">
        <v>80846</v>
      </c>
    </row>
    <row r="47" spans="1:3" x14ac:dyDescent="0.3">
      <c r="A47" t="s">
        <v>6</v>
      </c>
      <c r="B47" t="s">
        <v>10</v>
      </c>
      <c r="C47">
        <v>174403</v>
      </c>
    </row>
    <row r="48" spans="1:3" x14ac:dyDescent="0.3">
      <c r="A48" t="s">
        <v>5</v>
      </c>
      <c r="B48" t="s">
        <v>7</v>
      </c>
      <c r="C48">
        <v>134126</v>
      </c>
    </row>
    <row r="49" spans="1:3" x14ac:dyDescent="0.3">
      <c r="A49" t="s">
        <v>6</v>
      </c>
      <c r="B49" t="s">
        <v>16</v>
      </c>
      <c r="C49">
        <v>155199</v>
      </c>
    </row>
    <row r="50" spans="1:3" x14ac:dyDescent="0.3">
      <c r="A50" t="s">
        <v>4</v>
      </c>
      <c r="B50" t="s">
        <v>7</v>
      </c>
      <c r="C50">
        <v>247874</v>
      </c>
    </row>
    <row r="51" spans="1:3" x14ac:dyDescent="0.3">
      <c r="A51" t="s">
        <v>4</v>
      </c>
      <c r="B51" t="s">
        <v>14</v>
      </c>
      <c r="C51">
        <v>230636</v>
      </c>
    </row>
    <row r="52" spans="1:3" x14ac:dyDescent="0.3">
      <c r="A52" t="s">
        <v>3</v>
      </c>
      <c r="B52" t="s">
        <v>10</v>
      </c>
      <c r="C52">
        <v>88011</v>
      </c>
    </row>
    <row r="53" spans="1:3" x14ac:dyDescent="0.3">
      <c r="A53" t="s">
        <v>5</v>
      </c>
      <c r="B53" t="s">
        <v>15</v>
      </c>
      <c r="C53">
        <v>137530</v>
      </c>
    </row>
    <row r="54" spans="1:3" x14ac:dyDescent="0.3">
      <c r="A54" t="s">
        <v>6</v>
      </c>
      <c r="B54" t="s">
        <v>15</v>
      </c>
      <c r="C54">
        <v>162966</v>
      </c>
    </row>
    <row r="55" spans="1:3" x14ac:dyDescent="0.3">
      <c r="A55" t="s">
        <v>3</v>
      </c>
      <c r="B55" t="s">
        <v>14</v>
      </c>
      <c r="C55">
        <v>83338</v>
      </c>
    </row>
    <row r="56" spans="1:3" x14ac:dyDescent="0.3">
      <c r="A56" t="s">
        <v>3</v>
      </c>
      <c r="B56" t="s">
        <v>15</v>
      </c>
      <c r="C56">
        <v>83303</v>
      </c>
    </row>
    <row r="57" spans="1:3" x14ac:dyDescent="0.3">
      <c r="A57" t="s">
        <v>5</v>
      </c>
      <c r="B57" t="s">
        <v>9</v>
      </c>
      <c r="C57">
        <v>140429</v>
      </c>
    </row>
    <row r="58" spans="1:3" x14ac:dyDescent="0.3">
      <c r="A58" t="s">
        <v>4</v>
      </c>
      <c r="B58" t="s">
        <v>13</v>
      </c>
      <c r="C58">
        <v>247678</v>
      </c>
    </row>
    <row r="59" spans="1:3" x14ac:dyDescent="0.3">
      <c r="A59" t="s">
        <v>3</v>
      </c>
      <c r="B59" t="s">
        <v>18</v>
      </c>
      <c r="C59">
        <v>79694</v>
      </c>
    </row>
    <row r="60" spans="1:3" x14ac:dyDescent="0.3">
      <c r="A60" t="s">
        <v>5</v>
      </c>
      <c r="B60" t="s">
        <v>9</v>
      </c>
      <c r="C60">
        <v>143367</v>
      </c>
    </row>
    <row r="61" spans="1:3" x14ac:dyDescent="0.3">
      <c r="A61" t="s">
        <v>5</v>
      </c>
      <c r="B61" t="s">
        <v>12</v>
      </c>
      <c r="C61">
        <v>114365</v>
      </c>
    </row>
    <row r="62" spans="1:3" x14ac:dyDescent="0.3">
      <c r="A62" t="s">
        <v>4</v>
      </c>
      <c r="B62" t="s">
        <v>10</v>
      </c>
      <c r="C62">
        <v>243087</v>
      </c>
    </row>
    <row r="63" spans="1:3" x14ac:dyDescent="0.3">
      <c r="A63" t="s">
        <v>3</v>
      </c>
      <c r="B63" t="s">
        <v>12</v>
      </c>
      <c r="C63">
        <v>75622</v>
      </c>
    </row>
    <row r="64" spans="1:3" x14ac:dyDescent="0.3">
      <c r="A64" t="s">
        <v>3</v>
      </c>
      <c r="B64" t="s">
        <v>9</v>
      </c>
      <c r="C64">
        <v>77295</v>
      </c>
    </row>
    <row r="65" spans="1:3" x14ac:dyDescent="0.3">
      <c r="A65" t="s">
        <v>4</v>
      </c>
      <c r="B65" t="s">
        <v>14</v>
      </c>
      <c r="C65">
        <v>204139</v>
      </c>
    </row>
    <row r="66" spans="1:3" x14ac:dyDescent="0.3">
      <c r="A66" t="s">
        <v>4</v>
      </c>
      <c r="B66" t="s">
        <v>10</v>
      </c>
      <c r="C66">
        <v>201251</v>
      </c>
    </row>
    <row r="67" spans="1:3" x14ac:dyDescent="0.3">
      <c r="A67" t="s">
        <v>6</v>
      </c>
      <c r="B67" t="s">
        <v>15</v>
      </c>
      <c r="C67">
        <v>172674</v>
      </c>
    </row>
    <row r="68" spans="1:3" x14ac:dyDescent="0.3">
      <c r="A68" t="s">
        <v>4</v>
      </c>
      <c r="B68" t="s">
        <v>7</v>
      </c>
      <c r="C68">
        <v>247725</v>
      </c>
    </row>
    <row r="69" spans="1:3" x14ac:dyDescent="0.3">
      <c r="A69" t="s">
        <v>3</v>
      </c>
      <c r="B69" t="s">
        <v>7</v>
      </c>
      <c r="C69">
        <v>70997</v>
      </c>
    </row>
    <row r="70" spans="1:3" x14ac:dyDescent="0.3">
      <c r="A70" t="s">
        <v>5</v>
      </c>
      <c r="B70" t="s">
        <v>9</v>
      </c>
      <c r="C70">
        <v>134125</v>
      </c>
    </row>
    <row r="71" spans="1:3" x14ac:dyDescent="0.3">
      <c r="A71" t="s">
        <v>5</v>
      </c>
      <c r="B71" t="s">
        <v>18</v>
      </c>
      <c r="C71">
        <v>142967</v>
      </c>
    </row>
    <row r="72" spans="1:3" x14ac:dyDescent="0.3">
      <c r="A72" t="s">
        <v>5</v>
      </c>
      <c r="B72" t="s">
        <v>18</v>
      </c>
      <c r="C72">
        <v>136063</v>
      </c>
    </row>
    <row r="73" spans="1:3" x14ac:dyDescent="0.3">
      <c r="A73" t="s">
        <v>6</v>
      </c>
      <c r="B73" t="s">
        <v>12</v>
      </c>
      <c r="C73">
        <v>165271</v>
      </c>
    </row>
    <row r="74" spans="1:3" x14ac:dyDescent="0.3">
      <c r="A74" t="s">
        <v>5</v>
      </c>
      <c r="B74" t="s">
        <v>9</v>
      </c>
      <c r="C74">
        <v>123650</v>
      </c>
    </row>
    <row r="75" spans="1:3" x14ac:dyDescent="0.3">
      <c r="A75" t="s">
        <v>4</v>
      </c>
      <c r="B75" t="s">
        <v>8</v>
      </c>
      <c r="C75">
        <v>241408</v>
      </c>
    </row>
    <row r="76" spans="1:3" x14ac:dyDescent="0.3">
      <c r="A76" t="s">
        <v>4</v>
      </c>
      <c r="B76" t="s">
        <v>10</v>
      </c>
      <c r="C76">
        <v>244769</v>
      </c>
    </row>
    <row r="77" spans="1:3" x14ac:dyDescent="0.3">
      <c r="A77" t="s">
        <v>3</v>
      </c>
      <c r="B77" t="s">
        <v>10</v>
      </c>
      <c r="C77">
        <v>83953</v>
      </c>
    </row>
    <row r="78" spans="1:3" x14ac:dyDescent="0.3">
      <c r="A78" t="s">
        <v>3</v>
      </c>
      <c r="B78" t="s">
        <v>11</v>
      </c>
      <c r="C78">
        <v>81430</v>
      </c>
    </row>
    <row r="79" spans="1:3" x14ac:dyDescent="0.3">
      <c r="A79" t="s">
        <v>4</v>
      </c>
      <c r="B79" t="s">
        <v>16</v>
      </c>
      <c r="C79">
        <v>225904</v>
      </c>
    </row>
    <row r="80" spans="1:3" x14ac:dyDescent="0.3">
      <c r="A80" t="s">
        <v>4</v>
      </c>
      <c r="B80" t="s">
        <v>18</v>
      </c>
      <c r="C80">
        <v>225042</v>
      </c>
    </row>
    <row r="81" spans="1:3" x14ac:dyDescent="0.3">
      <c r="A81" t="s">
        <v>6</v>
      </c>
      <c r="B81" t="s">
        <v>16</v>
      </c>
      <c r="C81">
        <v>174225</v>
      </c>
    </row>
    <row r="82" spans="1:3" x14ac:dyDescent="0.3">
      <c r="A82" t="s">
        <v>6</v>
      </c>
      <c r="B82" t="s">
        <v>9</v>
      </c>
      <c r="C82">
        <v>179387</v>
      </c>
    </row>
    <row r="83" spans="1:3" x14ac:dyDescent="0.3">
      <c r="A83" t="s">
        <v>5</v>
      </c>
      <c r="B83" t="s">
        <v>8</v>
      </c>
      <c r="C83">
        <v>146343</v>
      </c>
    </row>
    <row r="84" spans="1:3" x14ac:dyDescent="0.3">
      <c r="A84" t="s">
        <v>3</v>
      </c>
      <c r="B84" t="s">
        <v>18</v>
      </c>
      <c r="C84">
        <v>77164</v>
      </c>
    </row>
    <row r="85" spans="1:3" x14ac:dyDescent="0.3">
      <c r="A85" t="s">
        <v>5</v>
      </c>
      <c r="B85" t="s">
        <v>8</v>
      </c>
      <c r="C85">
        <v>119513</v>
      </c>
    </row>
    <row r="86" spans="1:3" x14ac:dyDescent="0.3">
      <c r="A86" t="s">
        <v>5</v>
      </c>
      <c r="B86" t="s">
        <v>11</v>
      </c>
      <c r="C86">
        <v>127902</v>
      </c>
    </row>
    <row r="87" spans="1:3" x14ac:dyDescent="0.3">
      <c r="A87" t="s">
        <v>5</v>
      </c>
      <c r="B87" t="s">
        <v>15</v>
      </c>
      <c r="C87">
        <v>145924</v>
      </c>
    </row>
    <row r="88" spans="1:3" x14ac:dyDescent="0.3">
      <c r="A88" t="s">
        <v>4</v>
      </c>
      <c r="B88" t="s">
        <v>11</v>
      </c>
      <c r="C88">
        <v>218516</v>
      </c>
    </row>
    <row r="89" spans="1:3" x14ac:dyDescent="0.3">
      <c r="A89" t="s">
        <v>3</v>
      </c>
      <c r="B89" t="s">
        <v>18</v>
      </c>
      <c r="C89">
        <v>89379</v>
      </c>
    </row>
    <row r="90" spans="1:3" x14ac:dyDescent="0.3">
      <c r="A90" t="s">
        <v>5</v>
      </c>
      <c r="B90" t="s">
        <v>18</v>
      </c>
      <c r="C90">
        <v>139681</v>
      </c>
    </row>
    <row r="91" spans="1:3" x14ac:dyDescent="0.3">
      <c r="A91" t="s">
        <v>4</v>
      </c>
      <c r="B91" t="s">
        <v>10</v>
      </c>
      <c r="C91">
        <v>241764</v>
      </c>
    </row>
    <row r="92" spans="1:3" x14ac:dyDescent="0.3">
      <c r="A92" t="s">
        <v>6</v>
      </c>
      <c r="B92" t="s">
        <v>10</v>
      </c>
      <c r="C92">
        <v>174077</v>
      </c>
    </row>
    <row r="93" spans="1:3" x14ac:dyDescent="0.3">
      <c r="A93" t="s">
        <v>3</v>
      </c>
      <c r="B93" t="s">
        <v>7</v>
      </c>
      <c r="C93">
        <v>79980</v>
      </c>
    </row>
    <row r="94" spans="1:3" x14ac:dyDescent="0.3">
      <c r="A94" t="s">
        <v>4</v>
      </c>
      <c r="B94" t="s">
        <v>7</v>
      </c>
      <c r="C94">
        <v>246802</v>
      </c>
    </row>
    <row r="95" spans="1:3" x14ac:dyDescent="0.3">
      <c r="A95" t="s">
        <v>4</v>
      </c>
      <c r="B95" t="s">
        <v>17</v>
      </c>
      <c r="C95">
        <v>193809</v>
      </c>
    </row>
    <row r="96" spans="1:3" x14ac:dyDescent="0.3">
      <c r="A96" t="s">
        <v>6</v>
      </c>
      <c r="B96" t="s">
        <v>8</v>
      </c>
      <c r="C96">
        <v>140604</v>
      </c>
    </row>
    <row r="97" spans="1:3" x14ac:dyDescent="0.3">
      <c r="A97" t="s">
        <v>4</v>
      </c>
      <c r="B97" t="s">
        <v>10</v>
      </c>
      <c r="C97">
        <v>195425</v>
      </c>
    </row>
    <row r="98" spans="1:3" x14ac:dyDescent="0.3">
      <c r="A98" t="s">
        <v>6</v>
      </c>
      <c r="B98" t="s">
        <v>10</v>
      </c>
      <c r="C98">
        <v>178495</v>
      </c>
    </row>
    <row r="99" spans="1:3" x14ac:dyDescent="0.3">
      <c r="A99" t="s">
        <v>5</v>
      </c>
      <c r="B99" t="s">
        <v>10</v>
      </c>
      <c r="C99">
        <v>114485</v>
      </c>
    </row>
    <row r="100" spans="1:3" x14ac:dyDescent="0.3">
      <c r="A100" t="s">
        <v>3</v>
      </c>
      <c r="B100" t="s">
        <v>10</v>
      </c>
      <c r="C100">
        <v>72180</v>
      </c>
    </row>
    <row r="101" spans="1:3" x14ac:dyDescent="0.3">
      <c r="A101" t="s">
        <v>4</v>
      </c>
      <c r="B101" t="s">
        <v>11</v>
      </c>
      <c r="C101">
        <v>193435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BC10A-128B-466C-906E-56FFF01BD18B}">
  <dimension ref="A1:R10"/>
  <sheetViews>
    <sheetView workbookViewId="0">
      <selection activeCell="Q16" sqref="Q16"/>
    </sheetView>
  </sheetViews>
  <sheetFormatPr defaultRowHeight="14.4" x14ac:dyDescent="0.3"/>
  <cols>
    <col min="1" max="1" width="8.88671875" customWidth="1"/>
  </cols>
  <sheetData>
    <row r="1" spans="1:18" x14ac:dyDescent="0.3">
      <c r="A1" s="1" t="s">
        <v>0</v>
      </c>
      <c r="B1" s="1" t="s">
        <v>12</v>
      </c>
      <c r="C1" s="1" t="s">
        <v>13</v>
      </c>
      <c r="D1" s="1" t="s">
        <v>11</v>
      </c>
      <c r="E1" s="1" t="s">
        <v>8</v>
      </c>
      <c r="F1" s="1" t="s">
        <v>14</v>
      </c>
      <c r="G1" s="1" t="s">
        <v>9</v>
      </c>
      <c r="H1" s="1" t="s">
        <v>7</v>
      </c>
      <c r="I1" s="1" t="s">
        <v>17</v>
      </c>
      <c r="J1" s="1" t="s">
        <v>16</v>
      </c>
      <c r="K1" s="1" t="s">
        <v>18</v>
      </c>
      <c r="L1" s="1" t="s">
        <v>10</v>
      </c>
      <c r="M1" s="1" t="s">
        <v>15</v>
      </c>
      <c r="N1" s="6" t="s">
        <v>28</v>
      </c>
      <c r="O1" s="5" t="s">
        <v>27</v>
      </c>
      <c r="P1" s="1" t="s">
        <v>0</v>
      </c>
      <c r="Q1" s="1" t="s">
        <v>0</v>
      </c>
      <c r="R1" t="s">
        <v>33</v>
      </c>
    </row>
    <row r="2" spans="1:18" x14ac:dyDescent="0.3">
      <c r="A2" t="s">
        <v>6</v>
      </c>
      <c r="B2">
        <v>173236</v>
      </c>
      <c r="C2">
        <v>155680</v>
      </c>
      <c r="D2">
        <v>161253</v>
      </c>
      <c r="E2">
        <v>157237</v>
      </c>
      <c r="F2">
        <v>173072</v>
      </c>
      <c r="G2">
        <v>162399</v>
      </c>
      <c r="H2">
        <v>153252</v>
      </c>
      <c r="I2">
        <v>151648</v>
      </c>
      <c r="J2">
        <v>161623</v>
      </c>
      <c r="K2">
        <v>157989</v>
      </c>
      <c r="L2">
        <v>151379</v>
      </c>
      <c r="M2">
        <v>152085</v>
      </c>
      <c r="N2">
        <f>SUMIFS(actual!$C:$C, actual!$A:$A, $A2, actual!$B:$B, B$1)</f>
        <v>476384</v>
      </c>
      <c r="O2">
        <f>SUM(B2:M2)</f>
        <v>1910853</v>
      </c>
      <c r="P2" t="s">
        <v>6</v>
      </c>
      <c r="Q2" t="s">
        <v>6</v>
      </c>
      <c r="R2">
        <f>SUMIFS(actual!$C:$C, actual!$A:$A, A2)</f>
        <v>3301058</v>
      </c>
    </row>
    <row r="3" spans="1:18" x14ac:dyDescent="0.3">
      <c r="A3" t="s">
        <v>3</v>
      </c>
      <c r="B3">
        <v>83185</v>
      </c>
      <c r="C3">
        <v>84434</v>
      </c>
      <c r="D3">
        <v>81039</v>
      </c>
      <c r="E3">
        <v>82978</v>
      </c>
      <c r="F3">
        <v>74736</v>
      </c>
      <c r="G3">
        <v>87732</v>
      </c>
      <c r="H3">
        <v>78200</v>
      </c>
      <c r="I3">
        <v>73990</v>
      </c>
      <c r="J3">
        <v>73801</v>
      </c>
      <c r="K3">
        <v>82659</v>
      </c>
      <c r="L3">
        <v>88576</v>
      </c>
      <c r="M3">
        <v>84204</v>
      </c>
      <c r="N3">
        <f>SUMIFS(actual!$C:$C, actual!$A:$A, $A3, actual!$B:$B, B$1)</f>
        <v>308078</v>
      </c>
      <c r="O3">
        <f t="shared" ref="O3:O8" si="0">SUM(B3:M3)</f>
        <v>975534</v>
      </c>
      <c r="P3" t="s">
        <v>3</v>
      </c>
      <c r="Q3" t="s">
        <v>3</v>
      </c>
      <c r="R3">
        <f>SUMIFS(actual!$C:$C, actual!$A:$A, A3)</f>
        <v>2405399</v>
      </c>
    </row>
    <row r="4" spans="1:18" x14ac:dyDescent="0.3">
      <c r="A4" t="s">
        <v>5</v>
      </c>
      <c r="B4">
        <v>110217</v>
      </c>
      <c r="C4">
        <v>142015</v>
      </c>
      <c r="D4">
        <v>135298</v>
      </c>
      <c r="E4">
        <v>144932</v>
      </c>
      <c r="F4">
        <v>140764</v>
      </c>
      <c r="G4">
        <v>135258</v>
      </c>
      <c r="H4">
        <v>128738</v>
      </c>
      <c r="I4">
        <v>113218</v>
      </c>
      <c r="J4">
        <v>147609</v>
      </c>
      <c r="K4">
        <v>122404</v>
      </c>
      <c r="L4">
        <v>116584</v>
      </c>
      <c r="M4">
        <v>141643</v>
      </c>
      <c r="N4">
        <f>SUMIFS(actual!$C:$C, actual!$A:$A, $A4, actual!$B:$B, B$1)</f>
        <v>514490</v>
      </c>
      <c r="O4">
        <f t="shared" si="0"/>
        <v>1578680</v>
      </c>
      <c r="P4" t="s">
        <v>5</v>
      </c>
      <c r="Q4" t="s">
        <v>5</v>
      </c>
      <c r="R4">
        <f>SUMIFS(actual!$C:$C, actual!$A:$A, A4)</f>
        <v>3702211</v>
      </c>
    </row>
    <row r="5" spans="1:18" x14ac:dyDescent="0.3">
      <c r="A5" t="s">
        <v>4</v>
      </c>
      <c r="B5">
        <v>194983</v>
      </c>
      <c r="C5">
        <v>214939</v>
      </c>
      <c r="D5">
        <v>216264</v>
      </c>
      <c r="E5">
        <v>224049</v>
      </c>
      <c r="F5">
        <v>212098</v>
      </c>
      <c r="G5">
        <v>238973</v>
      </c>
      <c r="H5">
        <v>223267</v>
      </c>
      <c r="I5">
        <v>208678</v>
      </c>
      <c r="J5">
        <v>248658</v>
      </c>
      <c r="K5">
        <v>227488</v>
      </c>
      <c r="L5">
        <v>209015</v>
      </c>
      <c r="M5">
        <v>236518</v>
      </c>
      <c r="N5">
        <f>SUMIFS(actual!$C:$C, actual!$A:$A, $A5, actual!$B:$B, B$1)</f>
        <v>0</v>
      </c>
      <c r="O5">
        <f t="shared" si="0"/>
        <v>2654930</v>
      </c>
      <c r="P5" t="s">
        <v>4</v>
      </c>
      <c r="Q5" t="s">
        <v>4</v>
      </c>
      <c r="R5">
        <f>SUMIFS(actual!$C:$C, actual!$A:$A, A5)</f>
        <v>5003611</v>
      </c>
    </row>
    <row r="6" spans="1:18" x14ac:dyDescent="0.3">
      <c r="A6" t="s">
        <v>21</v>
      </c>
      <c r="B6">
        <v>155121</v>
      </c>
      <c r="C6">
        <v>210302</v>
      </c>
      <c r="D6">
        <v>155538</v>
      </c>
      <c r="E6">
        <v>179844</v>
      </c>
      <c r="F6">
        <v>195544</v>
      </c>
      <c r="G6">
        <v>150649</v>
      </c>
      <c r="H6">
        <v>217676</v>
      </c>
      <c r="I6">
        <v>194589</v>
      </c>
      <c r="J6">
        <v>193000</v>
      </c>
      <c r="K6">
        <v>166611</v>
      </c>
      <c r="L6">
        <v>200678</v>
      </c>
      <c r="M6">
        <v>184265</v>
      </c>
      <c r="N6">
        <f>SUMIFS(actual!$C:$C, actual!$A:$A, $A6, actual!$B:$B, B$1)</f>
        <v>0</v>
      </c>
      <c r="O6">
        <f t="shared" si="0"/>
        <v>2203817</v>
      </c>
      <c r="P6" t="s">
        <v>21</v>
      </c>
      <c r="Q6" t="s">
        <v>21</v>
      </c>
      <c r="R6">
        <f>SUMIFS(actual!$C:$C, actual!$A:$A, A6)</f>
        <v>0</v>
      </c>
    </row>
    <row r="7" spans="1:18" x14ac:dyDescent="0.3">
      <c r="A7" t="s">
        <v>20</v>
      </c>
      <c r="B7">
        <v>104645</v>
      </c>
      <c r="C7">
        <v>120827</v>
      </c>
      <c r="D7">
        <v>140786</v>
      </c>
      <c r="E7">
        <v>133652</v>
      </c>
      <c r="F7">
        <v>123466</v>
      </c>
      <c r="G7">
        <v>124114</v>
      </c>
      <c r="H7">
        <v>120253</v>
      </c>
      <c r="I7">
        <v>150810</v>
      </c>
      <c r="J7">
        <v>113157</v>
      </c>
      <c r="K7">
        <v>131024</v>
      </c>
      <c r="L7">
        <v>109245</v>
      </c>
      <c r="M7">
        <v>110588</v>
      </c>
      <c r="N7">
        <f>SUMIFS(actual!$C:$C, actual!$A:$A, $A7, actual!$B:$B, B$1)</f>
        <v>0</v>
      </c>
      <c r="O7">
        <f t="shared" si="0"/>
        <v>1482567</v>
      </c>
      <c r="P7" t="s">
        <v>20</v>
      </c>
      <c r="Q7" t="s">
        <v>20</v>
      </c>
      <c r="R7">
        <f>SUMIFS(actual!$C:$C, actual!$A:$A, A7)</f>
        <v>0</v>
      </c>
    </row>
    <row r="8" spans="1:18" x14ac:dyDescent="0.3">
      <c r="A8" t="s">
        <v>19</v>
      </c>
      <c r="B8">
        <v>146376</v>
      </c>
      <c r="C8">
        <v>159938</v>
      </c>
      <c r="D8">
        <v>129459</v>
      </c>
      <c r="E8">
        <v>139507</v>
      </c>
      <c r="F8">
        <v>133607</v>
      </c>
      <c r="G8">
        <v>179720</v>
      </c>
      <c r="H8">
        <v>131460</v>
      </c>
      <c r="I8">
        <v>178100</v>
      </c>
      <c r="J8">
        <v>134351</v>
      </c>
      <c r="K8">
        <v>123507</v>
      </c>
      <c r="L8">
        <v>126459</v>
      </c>
      <c r="M8">
        <v>159989</v>
      </c>
      <c r="N8">
        <f>SUMIFS(actual!$C:$C, actual!$A:$A, $A8, actual!$B:$B, B$1)</f>
        <v>0</v>
      </c>
      <c r="O8">
        <f t="shared" si="0"/>
        <v>1742473</v>
      </c>
      <c r="P8" t="s">
        <v>19</v>
      </c>
      <c r="Q8" t="s">
        <v>19</v>
      </c>
      <c r="R8">
        <f>SUMIFS(actual!$C:$C, actual!$A:$A, A8)</f>
        <v>0</v>
      </c>
    </row>
    <row r="9" spans="1:18" x14ac:dyDescent="0.3">
      <c r="N9" t="s">
        <v>30</v>
      </c>
      <c r="O9" t="s">
        <v>31</v>
      </c>
    </row>
    <row r="10" spans="1:18" x14ac:dyDescent="0.3">
      <c r="A10" t="s">
        <v>29</v>
      </c>
      <c r="B10">
        <f>SUMIFS(actual!$C:$C, actual!$B:$B, B$1)</f>
        <v>1298952</v>
      </c>
      <c r="C10">
        <f>SUMIFS(actual!$C:$C, actual!$B:$B, C$1)</f>
        <v>1045771</v>
      </c>
      <c r="D10">
        <f>SUMIFS(actual!$C:$C, actual!$B:$B, D$1)</f>
        <v>915222</v>
      </c>
      <c r="E10">
        <f>SUMIFS(actual!$C:$C, actual!$B:$B, E$1)</f>
        <v>1130807</v>
      </c>
      <c r="F10">
        <f>SUMIFS(actual!$C:$C, actual!$B:$B, F$1)</f>
        <v>669663</v>
      </c>
      <c r="G10">
        <f>SUMIFS(actual!$C:$C, actual!$B:$B, G$1)</f>
        <v>1204718</v>
      </c>
      <c r="H10">
        <f>SUMIFS(actual!$C:$C, actual!$B:$B, H$1)</f>
        <v>1528555</v>
      </c>
      <c r="I10">
        <f>SUMIFS(actual!$C:$C, actual!$B:$B, I$1)</f>
        <v>572121</v>
      </c>
      <c r="J10">
        <f>SUMIFS(actual!$C:$C, actual!$B:$B, J$1)</f>
        <v>1577165</v>
      </c>
      <c r="K10">
        <f>SUMIFS(actual!$C:$C, actual!$B:$B, K$1)</f>
        <v>1195557</v>
      </c>
      <c r="L10">
        <f>SUMIFS(actual!$C:$C, actual!$B:$B, L$1)</f>
        <v>2437258</v>
      </c>
      <c r="M10">
        <f>SUMIFS(actual!$C:$C, actual!$B:$B, M$1)</f>
        <v>836490</v>
      </c>
      <c r="N10">
        <f>SUM(N2:N8)</f>
        <v>1298952</v>
      </c>
      <c r="O10">
        <f>SUM(O2:O8)</f>
        <v>12548854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642D0-8799-4226-A891-B4A7625F7848}">
  <sheetPr>
    <pageSetUpPr fitToPage="1"/>
  </sheetPr>
  <dimension ref="A1:H11"/>
  <sheetViews>
    <sheetView zoomScale="65" workbookViewId="0">
      <selection activeCell="S53" sqref="S53"/>
    </sheetView>
  </sheetViews>
  <sheetFormatPr defaultRowHeight="14.4" x14ac:dyDescent="0.3"/>
  <cols>
    <col min="1" max="1" width="20.88671875" customWidth="1"/>
    <col min="2" max="2" width="23.77734375" customWidth="1"/>
    <col min="6" max="6" width="13.109375" customWidth="1"/>
    <col min="7" max="7" width="12.21875" bestFit="1" customWidth="1"/>
  </cols>
  <sheetData>
    <row r="1" spans="1:8" ht="28.8" x14ac:dyDescent="0.3">
      <c r="A1" s="10" t="s">
        <v>34</v>
      </c>
      <c r="B1" s="10"/>
      <c r="C1" s="10"/>
      <c r="D1" s="10"/>
      <c r="E1" s="10"/>
      <c r="F1" s="10"/>
      <c r="G1" s="9"/>
      <c r="H1" s="9"/>
    </row>
    <row r="3" spans="1:8" ht="21" x14ac:dyDescent="0.3">
      <c r="A3" s="2" t="s">
        <v>22</v>
      </c>
      <c r="B3" s="3">
        <f>SUM(Budget!B2:M100)</f>
        <v>26961133</v>
      </c>
    </row>
    <row r="4" spans="1:8" ht="21" x14ac:dyDescent="0.3">
      <c r="A4" s="2" t="s">
        <v>23</v>
      </c>
      <c r="B4" s="3">
        <f>SUM(Budget!N2:N100)</f>
        <v>2597904</v>
      </c>
    </row>
    <row r="5" spans="1:8" ht="21" x14ac:dyDescent="0.3">
      <c r="A5" s="2" t="s">
        <v>24</v>
      </c>
      <c r="B5" s="3">
        <f>B4 - B3</f>
        <v>-24363229</v>
      </c>
    </row>
    <row r="6" spans="1:8" ht="21" x14ac:dyDescent="0.3">
      <c r="A6" s="2" t="s">
        <v>25</v>
      </c>
      <c r="B6" s="4">
        <f>IFERROR(B5/B3,0)</f>
        <v>-0.90364262510778015</v>
      </c>
    </row>
    <row r="7" spans="1:8" ht="21" x14ac:dyDescent="0.3">
      <c r="A7" s="2" t="s">
        <v>26</v>
      </c>
      <c r="B7" s="2" t="str">
        <f>IF(B6&gt;0.05,"🔴 Overspending",IF(B6&lt;-0.05,"🟢 Under Budget","🟡 On Track"))</f>
        <v>🟢 Under Budget</v>
      </c>
    </row>
    <row r="9" spans="1:8" ht="23.4" x14ac:dyDescent="0.45">
      <c r="A9" s="7" t="s">
        <v>22</v>
      </c>
      <c r="B9" s="7">
        <f>SUM(Budget!B2:M100)</f>
        <v>26961133</v>
      </c>
    </row>
    <row r="10" spans="1:8" ht="23.4" x14ac:dyDescent="0.45">
      <c r="A10" s="7" t="s">
        <v>2</v>
      </c>
      <c r="B10" s="7">
        <f>SUM(Budget!N2:N100)</f>
        <v>2597904</v>
      </c>
    </row>
    <row r="11" spans="1:8" ht="23.4" x14ac:dyDescent="0.45">
      <c r="A11" s="7" t="s">
        <v>32</v>
      </c>
      <c r="B11" s="8">
        <f>SUM(Budget!O10-N10)</f>
        <v>12548854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actual</vt:lpstr>
      <vt:lpstr>Budget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sandeepadhikari</dc:creator>
  <cp:lastModifiedBy>Hemant Adhikari</cp:lastModifiedBy>
  <cp:lastPrinted>2025-12-28T15:48:52Z</cp:lastPrinted>
  <dcterms:created xsi:type="dcterms:W3CDTF">2025-12-28T14:08:56Z</dcterms:created>
  <dcterms:modified xsi:type="dcterms:W3CDTF">2025-12-29T08:14:18Z</dcterms:modified>
</cp:coreProperties>
</file>